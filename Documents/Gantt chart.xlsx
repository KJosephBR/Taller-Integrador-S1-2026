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0" documentId="13_ncr:1_{34A1C415-E81D-4F33-89DA-5844D7AED9F0}" xr6:coauthVersionLast="47" xr6:coauthVersionMax="47" xr10:uidLastSave="{00000000-0000-0000-0000-000000000000}"/>
  <bookViews>
    <workbookView xWindow="-120" yWindow="-120" windowWidth="38640" windowHeight="2112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11" l="1"/>
  <c r="E25" i="11"/>
  <c r="H7" i="11"/>
  <c r="E9" i="11" l="1"/>
  <c r="F9" i="11" l="1"/>
  <c r="E10" i="11" s="1"/>
  <c r="F10" i="11" s="1"/>
  <c r="E11" i="11" s="1"/>
  <c r="F11" i="11" s="1"/>
  <c r="E12" i="11" s="1"/>
  <c r="I5" i="11"/>
  <c r="H27" i="11"/>
  <c r="H26" i="11"/>
  <c r="H25" i="11"/>
  <c r="H22" i="11"/>
  <c r="H18" i="11"/>
  <c r="H13" i="11"/>
  <c r="H8" i="11"/>
  <c r="E14" i="11" l="1"/>
  <c r="F14" i="11" s="1"/>
  <c r="E15" i="11" s="1"/>
  <c r="F15" i="11" s="1"/>
  <c r="E16" i="11" s="1"/>
  <c r="F16" i="11" s="1"/>
  <c r="E17" i="11" s="1"/>
  <c r="F17" i="11" s="1"/>
  <c r="E19" i="11" s="1"/>
  <c r="F12" i="11"/>
  <c r="I6" i="11"/>
  <c r="F19" i="11" l="1"/>
  <c r="E20" i="11" s="1"/>
  <c r="H19" i="11"/>
  <c r="H9" i="11"/>
  <c r="H10" i="11"/>
  <c r="H14" i="11"/>
  <c r="H12" i="11"/>
  <c r="J5" i="11"/>
  <c r="K5" i="11" s="1"/>
  <c r="L5" i="11" s="1"/>
  <c r="M5" i="11" s="1"/>
  <c r="N5" i="11" s="1"/>
  <c r="O5" i="11" s="1"/>
  <c r="P5" i="11" s="1"/>
  <c r="I4" i="11"/>
  <c r="F20" i="11" l="1"/>
  <c r="E21" i="11" s="1"/>
  <c r="H20" i="11"/>
  <c r="H15" i="11"/>
  <c r="H11" i="11"/>
  <c r="P4" i="11"/>
  <c r="Q5" i="11"/>
  <c r="R5" i="11" s="1"/>
  <c r="S5" i="11" s="1"/>
  <c r="T5" i="11" s="1"/>
  <c r="U5" i="11" s="1"/>
  <c r="V5" i="11" s="1"/>
  <c r="W5" i="11" s="1"/>
  <c r="J6" i="11"/>
  <c r="F21" i="11" l="1"/>
  <c r="H17" i="11"/>
  <c r="H16" i="11"/>
  <c r="W4" i="11"/>
  <c r="X5" i="11"/>
  <c r="Y5" i="11" s="1"/>
  <c r="Z5" i="11" s="1"/>
  <c r="AA5" i="11" s="1"/>
  <c r="AB5" i="11" s="1"/>
  <c r="AC5" i="11" s="1"/>
  <c r="AD5" i="11" s="1"/>
  <c r="K6" i="11"/>
  <c r="H21" i="11" l="1"/>
  <c r="E23" i="11"/>
  <c r="AE5" i="11"/>
  <c r="AF5" i="11" s="1"/>
  <c r="AG5" i="11" s="1"/>
  <c r="AH5" i="11" s="1"/>
  <c r="AI5" i="11" s="1"/>
  <c r="AJ5" i="11" s="1"/>
  <c r="AD4" i="11"/>
  <c r="L6" i="11"/>
  <c r="F23" i="11" l="1"/>
  <c r="E24" i="11" s="1"/>
  <c r="H23" i="11"/>
  <c r="AK5" i="11"/>
  <c r="AL5" i="11" s="1"/>
  <c r="AM5" i="11" s="1"/>
  <c r="AN5" i="11" s="1"/>
  <c r="AO5" i="11" s="1"/>
  <c r="AP5" i="11" s="1"/>
  <c r="AQ5" i="11" s="1"/>
  <c r="M6" i="11"/>
  <c r="F24" i="11" l="1"/>
  <c r="H24" i="11"/>
  <c r="AR5" i="11"/>
  <c r="AS5" i="11" s="1"/>
  <c r="AK4" i="11"/>
  <c r="N6" i="11"/>
  <c r="AT5" i="11" l="1"/>
  <c r="AS6" i="11"/>
  <c r="AR4" i="11"/>
  <c r="O6" i="11"/>
  <c r="AT6" i="11" l="1"/>
  <c r="P6" i="11" l="1"/>
  <c r="R6" i="11" l="1"/>
  <c r="S6" i="11" l="1"/>
  <c r="AR6" i="11"/>
  <c r="AU5" i="11" s="1"/>
  <c r="AV5" i="11" s="1"/>
  <c r="AQ6" i="11"/>
  <c r="AP6" i="11"/>
  <c r="AO6" i="11"/>
  <c r="AN6" i="11"/>
  <c r="AM6" i="11"/>
  <c r="AL6" i="11"/>
  <c r="AK6" i="11"/>
  <c r="AJ6" i="11"/>
  <c r="AI6" i="11"/>
  <c r="AH6" i="11"/>
  <c r="AG6" i="11"/>
  <c r="AF6" i="11"/>
  <c r="AE6" i="11"/>
  <c r="AD6" i="11"/>
  <c r="AC6" i="11"/>
  <c r="AB6" i="11"/>
  <c r="AA6" i="11"/>
  <c r="Z6" i="11"/>
  <c r="Y6" i="11"/>
  <c r="X6" i="11"/>
  <c r="W6" i="11"/>
  <c r="V6" i="11"/>
  <c r="U6" i="11"/>
  <c r="T6" i="11"/>
  <c r="Q6" i="11"/>
  <c r="AW5" i="11" l="1"/>
  <c r="AX5" i="11" s="1"/>
  <c r="AV6" i="11"/>
  <c r="AU6" i="11"/>
  <c r="AW6" i="11"/>
  <c r="AY5" i="11" l="1"/>
  <c r="AZ5" i="11" l="1"/>
  <c r="AY6" i="11"/>
  <c r="AY4" i="11"/>
  <c r="AX6" i="11" s="1"/>
  <c r="BA5" i="11" l="1"/>
  <c r="AZ6" i="11"/>
  <c r="BB5" i="11" l="1"/>
  <c r="BA6" i="11"/>
  <c r="BB6" i="11" l="1"/>
  <c r="BC5" i="11"/>
  <c r="BD5" i="11" l="1"/>
  <c r="BC6" i="11"/>
  <c r="BE5" i="11" l="1"/>
  <c r="BD6" i="11"/>
  <c r="BF5" i="11" l="1"/>
  <c r="BF4" i="11" l="1"/>
  <c r="BE6" i="11" s="1"/>
  <c r="BF6" i="11"/>
  <c r="BG5" i="11"/>
  <c r="BG6" i="11" l="1"/>
  <c r="BH5" i="11"/>
  <c r="BI5" i="11" l="1"/>
  <c r="BH6" i="11"/>
  <c r="BJ5" i="11" l="1"/>
  <c r="BI6" i="11"/>
  <c r="BK5" i="11" l="1"/>
  <c r="BJ6" i="11"/>
  <c r="BL5" i="11" l="1"/>
  <c r="BL6" i="11" s="1"/>
  <c r="BK6" i="11"/>
</calcChain>
</file>

<file path=xl/sharedStrings.xml><?xml version="1.0" encoding="utf-8"?>
<sst xmlns="http://schemas.openxmlformats.org/spreadsheetml/2006/main" count="60" uniqueCount="57">
  <si>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</si>
  <si>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GRÁFICO GANTT SIMPLE de Vertex42.com</t>
  </si>
  <si>
    <t>Escriba el nombre de la compañía en la celda B2.</t>
  </si>
  <si>
    <t>https://www.vertex42.com/ExcelTemplates/simple-gantt-chart.html</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</si>
  <si>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</si>
  <si>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</si>
  <si>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</si>
  <si>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</si>
  <si>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DÍAS</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</si>
  <si>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</si>
  <si>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</si>
  <si>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</si>
  <si>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</si>
  <si>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</si>
  <si>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</si>
  <si>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</si>
  <si>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</si>
  <si>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Inserte nuevas filas ENCIMA de ésta</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</si>
  <si>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</si>
  <si>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</si>
  <si>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</si>
  <si>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</si>
  <si>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</si>
  <si>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</si>
  <si>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</si>
  <si>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</si>
  <si>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</si>
  <si>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</si>
  <si>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</si>
  <si>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</si>
  <si>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</si>
  <si>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Intituto Tecnológico de Costa Rica</t>
  </si>
  <si>
    <t>Arias Naranjo José Darío 
Berrocal Rodríguez Kevin 
Hurtado Villalobos Carlos  
Vargas Muñoz Luis Pablo</t>
  </si>
  <si>
    <t>Siwa Test Card Design</t>
  </si>
  <si>
    <t>Project start:</t>
  </si>
  <si>
    <t>Week to show:</t>
  </si>
  <si>
    <t>TASK</t>
  </si>
  <si>
    <t>PROGRESS</t>
  </si>
  <si>
    <t>START</t>
  </si>
  <si>
    <t>END</t>
  </si>
  <si>
    <t>Introduction and Familiarization with the project</t>
  </si>
  <si>
    <t>First PCB design iteration</t>
  </si>
  <si>
    <t>Final PCB design</t>
  </si>
  <si>
    <t>Shipping to manufacturing, development of validation plan and testing.</t>
  </si>
  <si>
    <t>Physical handling of the PCB</t>
  </si>
  <si>
    <t>Platform validation and characterizatio</t>
  </si>
  <si>
    <t>Third advance, preview, documentation.</t>
  </si>
  <si>
    <t>PCB testing and validation.</t>
  </si>
  <si>
    <t>Second advance, Interconnection platform assembled.</t>
  </si>
  <si>
    <t>PCB manufacturing and assembly.</t>
  </si>
  <si>
    <t>First advance, review of PCB design proposal.</t>
  </si>
  <si>
    <t>PCB design and development.</t>
  </si>
  <si>
    <t>Holy Week.</t>
  </si>
  <si>
    <t>Professor's verification.</t>
  </si>
  <si>
    <t>Development and presentation of the first demo.</t>
  </si>
  <si>
    <t>Final Presentation.</t>
  </si>
  <si>
    <t>Gantt chart for organizing the Integrative Workshop project, corresponding to the first semester of 2026.
The project was divided into four sections to generate objectives to be achieved. To view the weeks, change the week number to show.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</si>
</sst>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m\-yy;@"/>
    <numFmt numFmtId="169" formatCode="d"/>
    <numFmt numFmtId="170" formatCode="ddd\,\ yyyy\-mm\-dd;@"/>
    <numFmt numFmtId="171" formatCode="d\ &quot;de&quot;\ mmmm\ &quot;de&quot;\ yyyy"/>
  </numFmts>
  <fonts count="35" x14ac:knownFonts="1">
    <font>
      <sz val="11"/>
      <color theme="1"/>
      <name val="Calibri"/>
      <family val="2"/>
      <scheme val="min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0"/>
      <color theme="1"/>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2" fillId="0" borderId="0" applyNumberFormat="0" applyFill="0" applyBorder="0" applyAlignment="0" applyProtection="0">
      <alignment vertical="top"/>
      <protection locked="0"/>
    </xf>
    <xf numFmtId="9" fontId="8" fillId="0" borderId="0" applyFont="0" applyFill="0" applyBorder="0" applyAlignment="0" applyProtection="0"/>
    <xf numFmtId="0" fontId="21" fillId="0" borderId="0"/>
    <xf numFmtId="167" fontId="8" fillId="0" borderId="3" applyFont="0" applyFill="0" applyAlignment="0" applyProtection="0"/>
    <xf numFmtId="0" fontId="12"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8" fillId="0" borderId="0" applyNumberFormat="0" applyFill="0" applyProtection="0">
      <alignment horizontal="right" indent="1"/>
    </xf>
    <xf numFmtId="170" fontId="8" fillId="0" borderId="3">
      <alignment horizontal="center" vertical="center"/>
    </xf>
    <xf numFmtId="168" fontId="8" fillId="0" borderId="2" applyFill="0">
      <alignment horizontal="center" vertical="center"/>
    </xf>
    <xf numFmtId="0" fontId="8" fillId="0" borderId="2" applyFill="0">
      <alignment horizontal="center" vertical="center"/>
    </xf>
    <xf numFmtId="0" fontId="8" fillId="0" borderId="2" applyFill="0">
      <alignment horizontal="left" vertical="center" indent="2"/>
    </xf>
    <xf numFmtId="0" fontId="22" fillId="0" borderId="0" applyNumberFormat="0" applyFill="0" applyBorder="0" applyAlignment="0" applyProtection="0"/>
    <xf numFmtId="166" fontId="8" fillId="0" borderId="0" applyFont="0" applyFill="0" applyBorder="0" applyAlignment="0" applyProtection="0"/>
    <xf numFmtId="165" fontId="8" fillId="0" borderId="0" applyFont="0" applyFill="0" applyBorder="0" applyAlignment="0" applyProtection="0"/>
    <xf numFmtId="164" fontId="8" fillId="0" borderId="0" applyFont="0" applyFill="0" applyBorder="0" applyAlignment="0" applyProtection="0"/>
    <xf numFmtId="0" fontId="23" fillId="0" borderId="0" applyNumberFormat="0" applyFill="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6" fillId="16" borderId="0" applyNumberFormat="0" applyBorder="0" applyAlignment="0" applyProtection="0"/>
    <xf numFmtId="0" fontId="27" fillId="17" borderId="11" applyNumberFormat="0" applyAlignment="0" applyProtection="0"/>
    <xf numFmtId="0" fontId="28" fillId="18" borderId="12" applyNumberFormat="0" applyAlignment="0" applyProtection="0"/>
    <xf numFmtId="0" fontId="29" fillId="18" borderId="11" applyNumberFormat="0" applyAlignment="0" applyProtection="0"/>
    <xf numFmtId="0" fontId="30" fillId="0" borderId="13" applyNumberFormat="0" applyFill="0" applyAlignment="0" applyProtection="0"/>
    <xf numFmtId="0" fontId="31" fillId="19" borderId="14" applyNumberFormat="0" applyAlignment="0" applyProtection="0"/>
    <xf numFmtId="0" fontId="32" fillId="0" borderId="0" applyNumberFormat="0" applyFill="0" applyBorder="0" applyAlignment="0" applyProtection="0"/>
    <xf numFmtId="0" fontId="8" fillId="20" borderId="15" applyNumberFormat="0" applyFont="0" applyAlignment="0" applyProtection="0"/>
    <xf numFmtId="0" fontId="33" fillId="0" borderId="0" applyNumberFormat="0" applyFill="0" applyBorder="0" applyAlignment="0" applyProtection="0"/>
    <xf numFmtId="0" fontId="5" fillId="0" borderId="16" applyNumberFormat="0" applyFill="0" applyAlignment="0" applyProtection="0"/>
    <xf numFmtId="0" fontId="2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2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2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2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21" fillId="37" borderId="0" applyNumberFormat="0" applyBorder="0" applyAlignment="0" applyProtection="0"/>
    <xf numFmtId="0" fontId="8" fillId="38" borderId="0" applyNumberFormat="0" applyBorder="0" applyAlignment="0" applyProtection="0"/>
    <xf numFmtId="0" fontId="8" fillId="39" borderId="0" applyNumberFormat="0" applyBorder="0" applyAlignment="0" applyProtection="0"/>
    <xf numFmtId="0" fontId="8" fillId="40" borderId="0" applyNumberFormat="0" applyBorder="0" applyAlignment="0" applyProtection="0"/>
    <xf numFmtId="0" fontId="21" fillId="41" borderId="0" applyNumberFormat="0" applyBorder="0" applyAlignment="0" applyProtection="0"/>
    <xf numFmtId="0" fontId="8" fillId="42" borderId="0" applyNumberFormat="0" applyBorder="0" applyAlignment="0" applyProtection="0"/>
    <xf numFmtId="0" fontId="8" fillId="43" borderId="0" applyNumberFormat="0" applyBorder="0" applyAlignment="0" applyProtection="0"/>
    <xf numFmtId="0" fontId="8" fillId="44" borderId="0" applyNumberFormat="0" applyBorder="0" applyAlignment="0" applyProtection="0"/>
  </cellStyleXfs>
  <cellXfs count="88">
    <xf numFmtId="0" fontId="0" fillId="0" borderId="0" xfId="0"/>
    <xf numFmtId="0" fontId="1" fillId="0" borderId="0" xfId="0" applyFont="1"/>
    <xf numFmtId="0" fontId="0" fillId="0" borderId="0" xfId="0" applyAlignment="1">
      <alignment vertical="center"/>
    </xf>
    <xf numFmtId="0" fontId="1"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6" fillId="13" borderId="1" xfId="0" applyFont="1" applyFill="1" applyBorder="1" applyAlignment="1">
      <alignment horizontal="left" vertical="center" indent="1"/>
    </xf>
    <xf numFmtId="0" fontId="6" fillId="13" borderId="1" xfId="0" applyFont="1" applyFill="1" applyBorder="1" applyAlignment="1">
      <alignment horizontal="center" vertical="center" wrapText="1"/>
    </xf>
    <xf numFmtId="0" fontId="11" fillId="12" borderId="8" xfId="0" applyFont="1" applyFill="1" applyBorder="1" applyAlignment="1">
      <alignment horizontal="center" vertical="center" shrinkToFit="1"/>
    </xf>
    <xf numFmtId="0" fontId="13" fillId="0" borderId="0" xfId="0" applyFont="1"/>
    <xf numFmtId="0" fontId="14" fillId="0" borderId="0" xfId="1" applyFont="1" applyAlignment="1" applyProtection="1"/>
    <xf numFmtId="9" fontId="4" fillId="0" borderId="2" xfId="2" applyFont="1" applyBorder="1" applyAlignment="1">
      <alignment horizontal="center" vertical="center"/>
    </xf>
    <xf numFmtId="0" fontId="4" fillId="0" borderId="2" xfId="0" applyFont="1" applyBorder="1" applyAlignment="1">
      <alignment horizontal="center" vertical="center"/>
    </xf>
    <xf numFmtId="9" fontId="4" fillId="8" borderId="2" xfId="2" applyFont="1" applyFill="1" applyBorder="1" applyAlignment="1">
      <alignment horizontal="center" vertical="center"/>
    </xf>
    <xf numFmtId="9" fontId="4" fillId="3" borderId="2" xfId="2" applyFont="1" applyFill="1" applyBorder="1" applyAlignment="1">
      <alignment horizontal="center" vertical="center"/>
    </xf>
    <xf numFmtId="9" fontId="4" fillId="9" borderId="2" xfId="2" applyFont="1" applyFill="1" applyBorder="1" applyAlignment="1">
      <alignment horizontal="center" vertical="center"/>
    </xf>
    <xf numFmtId="9" fontId="4" fillId="4" borderId="2" xfId="2" applyFont="1" applyFill="1" applyBorder="1" applyAlignment="1">
      <alignment horizontal="center" vertical="center"/>
    </xf>
    <xf numFmtId="9" fontId="4" fillId="6" borderId="2" xfId="2" applyFont="1" applyFill="1" applyBorder="1" applyAlignment="1">
      <alignment horizontal="center" vertical="center"/>
    </xf>
    <xf numFmtId="9" fontId="4" fillId="11" borderId="2" xfId="2" applyFont="1" applyFill="1" applyBorder="1" applyAlignment="1">
      <alignment horizontal="center" vertical="center"/>
    </xf>
    <xf numFmtId="9" fontId="4" fillId="5" borderId="2" xfId="2" applyFont="1" applyFill="1" applyBorder="1" applyAlignment="1">
      <alignment horizontal="center" vertical="center"/>
    </xf>
    <xf numFmtId="9" fontId="4" fillId="10" borderId="2" xfId="2" applyFont="1" applyFill="1" applyBorder="1" applyAlignment="1">
      <alignment horizontal="center" vertical="center"/>
    </xf>
    <xf numFmtId="0" fontId="7" fillId="2" borderId="2" xfId="0" applyFont="1" applyFill="1" applyBorder="1" applyAlignment="1">
      <alignment horizontal="left" vertical="center" indent="1"/>
    </xf>
    <xf numFmtId="0" fontId="7" fillId="2" borderId="2" xfId="0" applyFont="1" applyFill="1" applyBorder="1" applyAlignment="1">
      <alignment horizontal="center" vertical="center"/>
    </xf>
    <xf numFmtId="9" fontId="4" fillId="2" borderId="2" xfId="2" applyFont="1" applyFill="1" applyBorder="1" applyAlignment="1">
      <alignment horizontal="center" vertical="center"/>
    </xf>
    <xf numFmtId="0" fontId="4"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1" fillId="0" borderId="0" xfId="0" applyFont="1" applyAlignment="1">
      <alignment horizontal="center" vertical="center"/>
    </xf>
    <xf numFmtId="0" fontId="1" fillId="0" borderId="0" xfId="0" applyFont="1" applyAlignment="1">
      <alignment vertical="top"/>
    </xf>
    <xf numFmtId="0" fontId="15" fillId="0" borderId="0" xfId="0" applyFont="1" applyAlignment="1">
      <alignment horizontal="left" vertical="center"/>
    </xf>
    <xf numFmtId="0" fontId="16" fillId="0" borderId="0" xfId="0" applyFont="1" applyAlignment="1">
      <alignment horizontal="left" vertical="center"/>
    </xf>
    <xf numFmtId="0" fontId="18" fillId="0" borderId="0" xfId="0" applyFont="1"/>
    <xf numFmtId="0" fontId="20" fillId="0" borderId="0" xfId="0" applyFont="1" applyAlignment="1">
      <alignment vertical="center"/>
    </xf>
    <xf numFmtId="0" fontId="19" fillId="0" borderId="0" xfId="0" applyFont="1" applyAlignment="1">
      <alignment horizontal="left" vertical="top" wrapText="1" indent="1"/>
    </xf>
    <xf numFmtId="0" fontId="1" fillId="0" borderId="0" xfId="0" applyFont="1" applyAlignment="1">
      <alignment horizontal="left" vertical="top"/>
    </xf>
    <xf numFmtId="0" fontId="17" fillId="0" borderId="0" xfId="0" applyFont="1" applyAlignment="1">
      <alignment vertical="top"/>
    </xf>
    <xf numFmtId="0" fontId="2" fillId="0" borderId="0" xfId="1" applyAlignment="1" applyProtection="1">
      <alignment horizontal="left" vertical="top"/>
    </xf>
    <xf numFmtId="0" fontId="0" fillId="0" borderId="0" xfId="0" applyAlignment="1">
      <alignment vertical="top" wrapText="1"/>
    </xf>
    <xf numFmtId="0" fontId="21" fillId="0" borderId="0" xfId="3"/>
    <xf numFmtId="0" fontId="21" fillId="0" borderId="0" xfId="3" applyAlignment="1">
      <alignment wrapText="1"/>
    </xf>
    <xf numFmtId="0" fontId="21" fillId="0" borderId="0" xfId="0" applyFont="1" applyAlignment="1">
      <alignment horizontal="center"/>
    </xf>
    <xf numFmtId="0" fontId="0" fillId="0" borderId="0" xfId="0" applyAlignment="1">
      <alignment wrapText="1"/>
    </xf>
    <xf numFmtId="0" fontId="9" fillId="0" borderId="0" xfId="6"/>
    <xf numFmtId="0" fontId="8" fillId="0" borderId="2" xfId="11">
      <alignment horizontal="center" vertical="center"/>
    </xf>
    <xf numFmtId="0" fontId="8" fillId="0" borderId="2" xfId="12">
      <alignment horizontal="left" vertical="center" indent="2"/>
    </xf>
    <xf numFmtId="0" fontId="0" fillId="0" borderId="10" xfId="0" applyBorder="1"/>
    <xf numFmtId="0" fontId="4" fillId="0" borderId="0" xfId="0" applyFont="1" applyAlignment="1">
      <alignment vertical="top"/>
    </xf>
    <xf numFmtId="168" fontId="0" fillId="8" borderId="2" xfId="0" applyNumberFormat="1" applyFill="1" applyBorder="1" applyAlignment="1">
      <alignment horizontal="center" vertical="center"/>
    </xf>
    <xf numFmtId="168" fontId="4" fillId="8" borderId="2" xfId="0" applyNumberFormat="1" applyFont="1" applyFill="1" applyBorder="1" applyAlignment="1">
      <alignment horizontal="center" vertical="center"/>
    </xf>
    <xf numFmtId="168" fontId="8" fillId="3" borderId="2" xfId="10" applyFill="1">
      <alignment horizontal="center" vertical="center"/>
    </xf>
    <xf numFmtId="168" fontId="0" fillId="9" borderId="2" xfId="0" applyNumberFormat="1" applyFill="1" applyBorder="1" applyAlignment="1">
      <alignment horizontal="center" vertical="center"/>
    </xf>
    <xf numFmtId="168" fontId="4" fillId="9" borderId="2" xfId="0" applyNumberFormat="1" applyFont="1" applyFill="1" applyBorder="1" applyAlignment="1">
      <alignment horizontal="center" vertical="center"/>
    </xf>
    <xf numFmtId="168" fontId="8" fillId="4" borderId="2" xfId="10" applyFill="1">
      <alignment horizontal="center" vertical="center"/>
    </xf>
    <xf numFmtId="168" fontId="0" fillId="6" borderId="2" xfId="0" applyNumberFormat="1" applyFill="1" applyBorder="1" applyAlignment="1">
      <alignment horizontal="center" vertical="center"/>
    </xf>
    <xf numFmtId="168" fontId="4" fillId="6" borderId="2" xfId="0" applyNumberFormat="1" applyFont="1" applyFill="1" applyBorder="1" applyAlignment="1">
      <alignment horizontal="center" vertical="center"/>
    </xf>
    <xf numFmtId="168" fontId="8" fillId="11" borderId="2" xfId="10" applyFill="1">
      <alignment horizontal="center" vertical="center"/>
    </xf>
    <xf numFmtId="168" fontId="0" fillId="5" borderId="2" xfId="0" applyNumberFormat="1" applyFill="1" applyBorder="1" applyAlignment="1">
      <alignment horizontal="center" vertical="center"/>
    </xf>
    <xf numFmtId="168" fontId="4" fillId="5" borderId="2" xfId="0" applyNumberFormat="1" applyFont="1" applyFill="1" applyBorder="1" applyAlignment="1">
      <alignment horizontal="center" vertical="center"/>
    </xf>
    <xf numFmtId="168" fontId="8" fillId="10" borderId="2" xfId="10" applyFill="1">
      <alignment horizontal="center" vertical="center"/>
    </xf>
    <xf numFmtId="168" fontId="8" fillId="0" borderId="2" xfId="10">
      <alignment horizontal="center" vertical="center"/>
    </xf>
    <xf numFmtId="168" fontId="3" fillId="2" borderId="2" xfId="0" applyNumberFormat="1" applyFont="1" applyFill="1" applyBorder="1" applyAlignment="1">
      <alignment horizontal="left" vertical="center"/>
    </xf>
    <xf numFmtId="168" fontId="4" fillId="2" borderId="2" xfId="0" applyNumberFormat="1" applyFont="1" applyFill="1" applyBorder="1" applyAlignment="1">
      <alignment horizontal="center" vertical="center"/>
    </xf>
    <xf numFmtId="169" fontId="10" fillId="7" borderId="6" xfId="0" applyNumberFormat="1" applyFont="1" applyFill="1" applyBorder="1" applyAlignment="1">
      <alignment horizontal="center" vertical="center"/>
    </xf>
    <xf numFmtId="169" fontId="10" fillId="7" borderId="0" xfId="0" applyNumberFormat="1" applyFont="1" applyFill="1" applyAlignment="1">
      <alignment horizontal="center" vertical="center"/>
    </xf>
    <xf numFmtId="169" fontId="10" fillId="7" borderId="7" xfId="0" applyNumberFormat="1" applyFont="1" applyFill="1" applyBorder="1" applyAlignment="1">
      <alignment horizontal="center" vertical="center"/>
    </xf>
    <xf numFmtId="0" fontId="34" fillId="11" borderId="2" xfId="12" applyFont="1" applyFill="1" applyAlignment="1">
      <alignment horizontal="center" vertical="center"/>
    </xf>
    <xf numFmtId="0" fontId="8" fillId="11" borderId="2" xfId="12" applyFill="1" applyAlignment="1">
      <alignment horizontal="center" vertical="center"/>
    </xf>
    <xf numFmtId="0" fontId="5" fillId="8" borderId="2" xfId="0" applyFont="1" applyFill="1" applyBorder="1" applyAlignment="1">
      <alignment horizontal="center" vertical="center"/>
    </xf>
    <xf numFmtId="0" fontId="5" fillId="9" borderId="2" xfId="0" applyFont="1" applyFill="1" applyBorder="1" applyAlignment="1">
      <alignment horizontal="center" vertical="center"/>
    </xf>
    <xf numFmtId="0" fontId="8" fillId="4" borderId="2" xfId="12" applyFill="1" applyAlignment="1">
      <alignment horizontal="center" vertical="center"/>
    </xf>
    <xf numFmtId="0" fontId="5" fillId="6" borderId="2" xfId="0" applyFont="1" applyFill="1" applyBorder="1" applyAlignment="1">
      <alignment horizontal="center" vertical="center" wrapText="1"/>
    </xf>
    <xf numFmtId="0" fontId="8" fillId="3" borderId="2" xfId="12" applyFill="1" applyAlignment="1">
      <alignment horizontal="center" vertical="center"/>
    </xf>
    <xf numFmtId="0" fontId="8" fillId="4" borderId="2" xfId="12" applyFill="1" applyAlignment="1">
      <alignment horizontal="center" vertical="center" wrapText="1"/>
    </xf>
    <xf numFmtId="0" fontId="8" fillId="0" borderId="0" xfId="7" applyFont="1" applyAlignment="1">
      <alignment horizontal="left" vertical="top" wrapText="1"/>
    </xf>
    <xf numFmtId="0" fontId="12" fillId="0" borderId="0" xfId="5" applyAlignment="1">
      <alignment horizontal="center"/>
    </xf>
    <xf numFmtId="0" fontId="0" fillId="0" borderId="0" xfId="0" applyAlignment="1">
      <alignment horizontal="left" vertical="top" wrapText="1"/>
    </xf>
    <xf numFmtId="0" fontId="0" fillId="0" borderId="0" xfId="0" applyAlignment="1">
      <alignment horizontal="left" vertical="top"/>
    </xf>
    <xf numFmtId="0" fontId="8" fillId="3" borderId="2" xfId="12" applyFill="1" applyAlignment="1">
      <alignment horizontal="center" vertical="center" wrapText="1"/>
    </xf>
    <xf numFmtId="0" fontId="8" fillId="0" borderId="0" xfId="8">
      <alignment horizontal="right" indent="1"/>
    </xf>
    <xf numFmtId="0" fontId="8" fillId="0" borderId="7" xfId="8" applyBorder="1">
      <alignment horizontal="right" indent="1"/>
    </xf>
    <xf numFmtId="171" fontId="0" fillId="7" borderId="4" xfId="0" applyNumberFormat="1" applyFill="1" applyBorder="1" applyAlignment="1">
      <alignment horizontal="left" vertical="center" wrapText="1" indent="1"/>
    </xf>
    <xf numFmtId="171" fontId="0" fillId="7" borderId="1" xfId="0" applyNumberFormat="1" applyFill="1" applyBorder="1" applyAlignment="1">
      <alignment horizontal="left" vertical="center" wrapText="1" indent="1"/>
    </xf>
    <xf numFmtId="171" fontId="0" fillId="7" borderId="5" xfId="0" applyNumberFormat="1" applyFill="1" applyBorder="1" applyAlignment="1">
      <alignment horizontal="left" vertical="center" wrapText="1" indent="1"/>
    </xf>
    <xf numFmtId="170" fontId="8" fillId="0" borderId="3" xfId="9">
      <alignment horizontal="center" vertical="center"/>
    </xf>
    <xf numFmtId="0" fontId="5" fillId="5" borderId="2" xfId="0" applyFont="1" applyFill="1" applyBorder="1" applyAlignment="1">
      <alignment horizontal="center" vertical="center" wrapText="1"/>
    </xf>
    <xf numFmtId="0" fontId="8" fillId="10" borderId="2" xfId="12" applyFill="1" applyAlignment="1">
      <alignment horizontal="center" vertical="center" wrapText="1"/>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0"/>
  <sheetViews>
    <sheetView showGridLines="0" tabSelected="1" showRuler="0" zoomScaleNormal="100" zoomScalePageLayoutView="70" workbookViewId="0">
      <pane ySplit="6" topLeftCell="A8" activePane="bottomLeft" state="frozen"/>
      <selection pane="bottomLeft" activeCell="B10" sqref="B10:C10"/>
    </sheetView>
  </sheetViews>
  <sheetFormatPr baseColWidth="10" defaultColWidth="9.140625" defaultRowHeight="30" customHeight="1" x14ac:dyDescent="0.25"/>
  <cols>
    <col min="1" max="1" width="2.7109375" style="40" customWidth="1"/>
    <col min="2" max="2" width="29.7109375" customWidth="1"/>
    <col min="3" max="3" width="30.7109375" customWidth="1"/>
    <col min="4" max="4" width="10.7109375" customWidth="1"/>
    <col min="5" max="5" width="10.42578125" style="4" customWidth="1"/>
    <col min="6" max="6" width="10.42578125" customWidth="1"/>
    <col min="7" max="7" width="3.140625" customWidth="1"/>
    <col min="8" max="8" width="6.140625" hidden="1" customWidth="1"/>
    <col min="9" max="64" width="3.140625" customWidth="1"/>
    <col min="69" max="70" width="10.28515625"/>
  </cols>
  <sheetData>
    <row r="1" spans="1:64" ht="30" customHeight="1" x14ac:dyDescent="0.45">
      <c r="A1" s="41" t="s">
        <v>0</v>
      </c>
      <c r="B1" s="76" t="s">
        <v>33</v>
      </c>
      <c r="C1" s="76"/>
      <c r="D1" s="76"/>
      <c r="E1" s="3"/>
      <c r="F1" s="29"/>
      <c r="H1" s="1"/>
      <c r="I1" s="77" t="s">
        <v>56</v>
      </c>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row>
    <row r="2" spans="1:64" ht="30" customHeight="1" x14ac:dyDescent="0.3">
      <c r="A2" s="40" t="s">
        <v>2</v>
      </c>
      <c r="B2" s="44" t="s">
        <v>31</v>
      </c>
      <c r="I2" s="78"/>
      <c r="J2" s="78"/>
      <c r="K2" s="78"/>
      <c r="L2" s="78"/>
      <c r="M2" s="78"/>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row>
    <row r="3" spans="1:64" ht="30" customHeight="1" x14ac:dyDescent="0.25">
      <c r="A3" s="40" t="s">
        <v>4</v>
      </c>
      <c r="B3" s="75" t="s">
        <v>32</v>
      </c>
      <c r="C3" s="80" t="s">
        <v>34</v>
      </c>
      <c r="D3" s="81"/>
      <c r="E3" s="85">
        <v>46076</v>
      </c>
      <c r="F3" s="85"/>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row>
    <row r="4" spans="1:64" ht="30" customHeight="1" x14ac:dyDescent="0.25">
      <c r="A4" s="41" t="s">
        <v>5</v>
      </c>
      <c r="B4" s="75"/>
      <c r="C4" s="80" t="s">
        <v>35</v>
      </c>
      <c r="D4" s="81"/>
      <c r="E4" s="6">
        <v>1</v>
      </c>
      <c r="I4" s="82">
        <f>I5</f>
        <v>46076</v>
      </c>
      <c r="J4" s="83"/>
      <c r="K4" s="83"/>
      <c r="L4" s="83"/>
      <c r="M4" s="83"/>
      <c r="N4" s="83"/>
      <c r="O4" s="84"/>
      <c r="P4" s="82">
        <f>P5</f>
        <v>46083</v>
      </c>
      <c r="Q4" s="83"/>
      <c r="R4" s="83"/>
      <c r="S4" s="83"/>
      <c r="T4" s="83"/>
      <c r="U4" s="83"/>
      <c r="V4" s="84"/>
      <c r="W4" s="82">
        <f>W5</f>
        <v>46090</v>
      </c>
      <c r="X4" s="83"/>
      <c r="Y4" s="83"/>
      <c r="Z4" s="83"/>
      <c r="AA4" s="83"/>
      <c r="AB4" s="83"/>
      <c r="AC4" s="84"/>
      <c r="AD4" s="82">
        <f>AD5</f>
        <v>46097</v>
      </c>
      <c r="AE4" s="83"/>
      <c r="AF4" s="83"/>
      <c r="AG4" s="83"/>
      <c r="AH4" s="83"/>
      <c r="AI4" s="83"/>
      <c r="AJ4" s="84"/>
      <c r="AK4" s="82">
        <f>AK5</f>
        <v>46104</v>
      </c>
      <c r="AL4" s="83"/>
      <c r="AM4" s="83"/>
      <c r="AN4" s="83"/>
      <c r="AO4" s="83"/>
      <c r="AP4" s="83"/>
      <c r="AQ4" s="84"/>
      <c r="AR4" s="82">
        <f>AR5</f>
        <v>46111</v>
      </c>
      <c r="AS4" s="83"/>
      <c r="AT4" s="83"/>
      <c r="AU4" s="83"/>
      <c r="AV4" s="83"/>
      <c r="AW4" s="83"/>
      <c r="AX4" s="84"/>
      <c r="AY4" s="82">
        <f>AY5</f>
        <v>46118</v>
      </c>
      <c r="AZ4" s="83"/>
      <c r="BA4" s="83"/>
      <c r="BB4" s="83"/>
      <c r="BC4" s="83"/>
      <c r="BD4" s="83"/>
      <c r="BE4" s="84"/>
      <c r="BF4" s="82">
        <f>BF5</f>
        <v>46125</v>
      </c>
      <c r="BG4" s="83"/>
      <c r="BH4" s="83"/>
      <c r="BI4" s="83"/>
      <c r="BJ4" s="83"/>
      <c r="BK4" s="83"/>
      <c r="BL4" s="84"/>
    </row>
    <row r="5" spans="1:64" ht="15" customHeight="1" x14ac:dyDescent="0.25">
      <c r="A5" s="41" t="s">
        <v>6</v>
      </c>
      <c r="B5" s="47"/>
      <c r="C5" s="47"/>
      <c r="D5" s="47"/>
      <c r="E5" s="47"/>
      <c r="F5" s="47"/>
      <c r="G5" s="47"/>
      <c r="I5" s="64">
        <f>Inicio_del_proyecto-WEEKDAY(Inicio_del_proyecto,1)+2+7*(Semana_para_mostrar-1)</f>
        <v>46076</v>
      </c>
      <c r="J5" s="65">
        <f>I5+1</f>
        <v>46077</v>
      </c>
      <c r="K5" s="65">
        <f t="shared" ref="K5:AX5" si="0">J5+1</f>
        <v>46078</v>
      </c>
      <c r="L5" s="65">
        <f t="shared" si="0"/>
        <v>46079</v>
      </c>
      <c r="M5" s="65">
        <f t="shared" si="0"/>
        <v>46080</v>
      </c>
      <c r="N5" s="65">
        <f t="shared" si="0"/>
        <v>46081</v>
      </c>
      <c r="O5" s="66">
        <f t="shared" si="0"/>
        <v>46082</v>
      </c>
      <c r="P5" s="64">
        <f>O5+1</f>
        <v>46083</v>
      </c>
      <c r="Q5" s="65">
        <f>P5+1</f>
        <v>46084</v>
      </c>
      <c r="R5" s="65">
        <f t="shared" si="0"/>
        <v>46085</v>
      </c>
      <c r="S5" s="65">
        <f t="shared" si="0"/>
        <v>46086</v>
      </c>
      <c r="T5" s="65">
        <f t="shared" si="0"/>
        <v>46087</v>
      </c>
      <c r="U5" s="65">
        <f t="shared" si="0"/>
        <v>46088</v>
      </c>
      <c r="V5" s="66">
        <f t="shared" si="0"/>
        <v>46089</v>
      </c>
      <c r="W5" s="64">
        <f>V5+1</f>
        <v>46090</v>
      </c>
      <c r="X5" s="65">
        <f>W5+1</f>
        <v>46091</v>
      </c>
      <c r="Y5" s="65">
        <f t="shared" si="0"/>
        <v>46092</v>
      </c>
      <c r="Z5" s="65">
        <f t="shared" si="0"/>
        <v>46093</v>
      </c>
      <c r="AA5" s="65">
        <f t="shared" si="0"/>
        <v>46094</v>
      </c>
      <c r="AB5" s="65">
        <f t="shared" si="0"/>
        <v>46095</v>
      </c>
      <c r="AC5" s="66">
        <f t="shared" si="0"/>
        <v>46096</v>
      </c>
      <c r="AD5" s="64">
        <f>AC5+1</f>
        <v>46097</v>
      </c>
      <c r="AE5" s="65">
        <f>AD5+1</f>
        <v>46098</v>
      </c>
      <c r="AF5" s="65">
        <f t="shared" si="0"/>
        <v>46099</v>
      </c>
      <c r="AG5" s="65">
        <f t="shared" si="0"/>
        <v>46100</v>
      </c>
      <c r="AH5" s="65">
        <f t="shared" si="0"/>
        <v>46101</v>
      </c>
      <c r="AI5" s="65">
        <f t="shared" si="0"/>
        <v>46102</v>
      </c>
      <c r="AJ5" s="66">
        <f t="shared" si="0"/>
        <v>46103</v>
      </c>
      <c r="AK5" s="64">
        <f>AJ5+1</f>
        <v>46104</v>
      </c>
      <c r="AL5" s="65">
        <f>AK5+1</f>
        <v>46105</v>
      </c>
      <c r="AM5" s="65">
        <f t="shared" si="0"/>
        <v>46106</v>
      </c>
      <c r="AN5" s="65">
        <f t="shared" si="0"/>
        <v>46107</v>
      </c>
      <c r="AO5" s="65">
        <f t="shared" si="0"/>
        <v>46108</v>
      </c>
      <c r="AP5" s="65">
        <f t="shared" si="0"/>
        <v>46109</v>
      </c>
      <c r="AQ5" s="66">
        <f t="shared" si="0"/>
        <v>46110</v>
      </c>
      <c r="AR5" s="64">
        <f>AQ5+1</f>
        <v>46111</v>
      </c>
      <c r="AS5" s="65">
        <f>AR5+1</f>
        <v>46112</v>
      </c>
      <c r="AT5" s="65">
        <f t="shared" si="0"/>
        <v>46113</v>
      </c>
      <c r="AU5" s="65">
        <f t="shared" si="0"/>
        <v>46114</v>
      </c>
      <c r="AV5" s="65">
        <f t="shared" si="0"/>
        <v>46115</v>
      </c>
      <c r="AW5" s="65">
        <f t="shared" si="0"/>
        <v>46116</v>
      </c>
      <c r="AX5" s="66">
        <f t="shared" si="0"/>
        <v>46117</v>
      </c>
      <c r="AY5" s="64">
        <f>AX5+1</f>
        <v>46118</v>
      </c>
      <c r="AZ5" s="65">
        <f>AY5+1</f>
        <v>46119</v>
      </c>
      <c r="BA5" s="65">
        <f t="shared" ref="BA5:BE5" si="1">AZ5+1</f>
        <v>46120</v>
      </c>
      <c r="BB5" s="65">
        <f t="shared" si="1"/>
        <v>46121</v>
      </c>
      <c r="BC5" s="65">
        <f t="shared" si="1"/>
        <v>46122</v>
      </c>
      <c r="BD5" s="65">
        <f t="shared" si="1"/>
        <v>46123</v>
      </c>
      <c r="BE5" s="66">
        <f t="shared" si="1"/>
        <v>46124</v>
      </c>
      <c r="BF5" s="64">
        <f>BE5+1</f>
        <v>46125</v>
      </c>
      <c r="BG5" s="65">
        <f>BF5+1</f>
        <v>46126</v>
      </c>
      <c r="BH5" s="65">
        <f t="shared" ref="BH5:BL5" si="2">BG5+1</f>
        <v>46127</v>
      </c>
      <c r="BI5" s="65">
        <f t="shared" si="2"/>
        <v>46128</v>
      </c>
      <c r="BJ5" s="65">
        <f t="shared" si="2"/>
        <v>46129</v>
      </c>
      <c r="BK5" s="65">
        <f t="shared" si="2"/>
        <v>46130</v>
      </c>
      <c r="BL5" s="66">
        <f t="shared" si="2"/>
        <v>46131</v>
      </c>
    </row>
    <row r="6" spans="1:64" ht="30" customHeight="1" thickBot="1" x14ac:dyDescent="0.3">
      <c r="A6" s="41" t="s">
        <v>7</v>
      </c>
      <c r="B6" s="7" t="s">
        <v>36</v>
      </c>
      <c r="C6" s="8"/>
      <c r="D6" s="8" t="s">
        <v>37</v>
      </c>
      <c r="E6" s="8" t="s">
        <v>38</v>
      </c>
      <c r="F6" s="8" t="s">
        <v>39</v>
      </c>
      <c r="G6" s="8"/>
      <c r="H6" s="8" t="s">
        <v>8</v>
      </c>
      <c r="I6" s="9" t="str">
        <f t="shared" ref="I6" si="3">LEFT(TEXT(I5,"ddd"),1)</f>
        <v>l</v>
      </c>
      <c r="J6" s="9" t="str">
        <f t="shared" ref="J6:AR6" si="4">LEFT(TEXT(J5,"ddd"),1)</f>
        <v>m</v>
      </c>
      <c r="K6" s="9" t="str">
        <f t="shared" si="4"/>
        <v>m</v>
      </c>
      <c r="L6" s="9" t="str">
        <f t="shared" si="4"/>
        <v>j</v>
      </c>
      <c r="M6" s="9" t="str">
        <f t="shared" si="4"/>
        <v>v</v>
      </c>
      <c r="N6" s="9" t="str">
        <f t="shared" si="4"/>
        <v>s</v>
      </c>
      <c r="O6" s="9" t="str">
        <f t="shared" si="4"/>
        <v>d</v>
      </c>
      <c r="P6" s="9" t="str">
        <f t="shared" si="4"/>
        <v>l</v>
      </c>
      <c r="Q6" s="9" t="str">
        <f t="shared" si="4"/>
        <v>m</v>
      </c>
      <c r="R6" s="9" t="str">
        <f t="shared" si="4"/>
        <v>m</v>
      </c>
      <c r="S6" s="9" t="str">
        <f t="shared" si="4"/>
        <v>j</v>
      </c>
      <c r="T6" s="9" t="str">
        <f t="shared" si="4"/>
        <v>v</v>
      </c>
      <c r="U6" s="9" t="str">
        <f t="shared" si="4"/>
        <v>s</v>
      </c>
      <c r="V6" s="9" t="str">
        <f t="shared" si="4"/>
        <v>d</v>
      </c>
      <c r="W6" s="9" t="str">
        <f t="shared" si="4"/>
        <v>l</v>
      </c>
      <c r="X6" s="9" t="str">
        <f t="shared" si="4"/>
        <v>m</v>
      </c>
      <c r="Y6" s="9" t="str">
        <f t="shared" si="4"/>
        <v>m</v>
      </c>
      <c r="Z6" s="9" t="str">
        <f t="shared" si="4"/>
        <v>j</v>
      </c>
      <c r="AA6" s="9" t="str">
        <f t="shared" si="4"/>
        <v>v</v>
      </c>
      <c r="AB6" s="9" t="str">
        <f t="shared" si="4"/>
        <v>s</v>
      </c>
      <c r="AC6" s="9" t="str">
        <f t="shared" si="4"/>
        <v>d</v>
      </c>
      <c r="AD6" s="9" t="str">
        <f t="shared" si="4"/>
        <v>l</v>
      </c>
      <c r="AE6" s="9" t="str">
        <f t="shared" si="4"/>
        <v>m</v>
      </c>
      <c r="AF6" s="9" t="str">
        <f t="shared" si="4"/>
        <v>m</v>
      </c>
      <c r="AG6" s="9" t="str">
        <f t="shared" si="4"/>
        <v>j</v>
      </c>
      <c r="AH6" s="9" t="str">
        <f t="shared" si="4"/>
        <v>v</v>
      </c>
      <c r="AI6" s="9" t="str">
        <f t="shared" si="4"/>
        <v>s</v>
      </c>
      <c r="AJ6" s="9" t="str">
        <f t="shared" si="4"/>
        <v>d</v>
      </c>
      <c r="AK6" s="9" t="str">
        <f t="shared" si="4"/>
        <v>l</v>
      </c>
      <c r="AL6" s="9" t="str">
        <f t="shared" si="4"/>
        <v>m</v>
      </c>
      <c r="AM6" s="9" t="str">
        <f t="shared" si="4"/>
        <v>m</v>
      </c>
      <c r="AN6" s="9" t="str">
        <f t="shared" si="4"/>
        <v>j</v>
      </c>
      <c r="AO6" s="9" t="str">
        <f t="shared" si="4"/>
        <v>v</v>
      </c>
      <c r="AP6" s="9" t="str">
        <f t="shared" si="4"/>
        <v>s</v>
      </c>
      <c r="AQ6" s="9" t="str">
        <f t="shared" si="4"/>
        <v>d</v>
      </c>
      <c r="AR6" s="9" t="str">
        <f t="shared" si="4"/>
        <v>l</v>
      </c>
      <c r="AS6" s="9" t="str">
        <f t="shared" ref="AS6:BL6" si="5">LEFT(TEXT(AS5,"ddd"),1)</f>
        <v>m</v>
      </c>
      <c r="AT6" s="9" t="str">
        <f t="shared" si="5"/>
        <v>m</v>
      </c>
      <c r="AU6" s="9" t="str">
        <f t="shared" si="5"/>
        <v>j</v>
      </c>
      <c r="AV6" s="9" t="str">
        <f t="shared" si="5"/>
        <v>v</v>
      </c>
      <c r="AW6" s="9" t="str">
        <f t="shared" si="5"/>
        <v>s</v>
      </c>
      <c r="AX6" s="9" t="str">
        <f t="shared" si="5"/>
        <v>d</v>
      </c>
      <c r="AY6" s="9" t="str">
        <f t="shared" si="5"/>
        <v>l</v>
      </c>
      <c r="AZ6" s="9" t="str">
        <f t="shared" si="5"/>
        <v>m</v>
      </c>
      <c r="BA6" s="9" t="str">
        <f t="shared" si="5"/>
        <v>m</v>
      </c>
      <c r="BB6" s="9" t="str">
        <f t="shared" si="5"/>
        <v>j</v>
      </c>
      <c r="BC6" s="9" t="str">
        <f t="shared" si="5"/>
        <v>v</v>
      </c>
      <c r="BD6" s="9" t="str">
        <f t="shared" si="5"/>
        <v>s</v>
      </c>
      <c r="BE6" s="9" t="str">
        <f t="shared" si="5"/>
        <v>d</v>
      </c>
      <c r="BF6" s="9" t="str">
        <f t="shared" si="5"/>
        <v>l</v>
      </c>
      <c r="BG6" s="9" t="str">
        <f t="shared" si="5"/>
        <v>m</v>
      </c>
      <c r="BH6" s="9" t="str">
        <f t="shared" si="5"/>
        <v>m</v>
      </c>
      <c r="BI6" s="9" t="str">
        <f t="shared" si="5"/>
        <v>j</v>
      </c>
      <c r="BJ6" s="9" t="str">
        <f t="shared" si="5"/>
        <v>v</v>
      </c>
      <c r="BK6" s="9" t="str">
        <f t="shared" si="5"/>
        <v>s</v>
      </c>
      <c r="BL6" s="9" t="str">
        <f t="shared" si="5"/>
        <v>d</v>
      </c>
    </row>
    <row r="7" spans="1:64" ht="30" hidden="1" customHeight="1" thickBot="1" x14ac:dyDescent="0.3">
      <c r="A7" s="40" t="s">
        <v>9</v>
      </c>
      <c r="C7" s="43"/>
      <c r="E7"/>
      <c r="H7" t="str">
        <f>IF(OR(ISBLANK(task_start),ISBLANK(task_end)),"",task_end-task_start+1)</f>
        <v/>
      </c>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row>
    <row r="8" spans="1:64" s="2" customFormat="1" ht="30" customHeight="1" thickBot="1" x14ac:dyDescent="0.3">
      <c r="A8" s="41" t="s">
        <v>10</v>
      </c>
      <c r="B8" s="69" t="s">
        <v>41</v>
      </c>
      <c r="C8" s="69"/>
      <c r="D8" s="14"/>
      <c r="E8" s="49"/>
      <c r="F8" s="50"/>
      <c r="G8" s="13"/>
      <c r="H8" s="13" t="str">
        <f t="shared" ref="H8:H27" si="6">IF(OR(ISBLANK(task_start),ISBLANK(task_end)),"",task_end-task_start+1)</f>
        <v/>
      </c>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row>
    <row r="9" spans="1:64" s="2" customFormat="1" ht="30" customHeight="1" thickBot="1" x14ac:dyDescent="0.3">
      <c r="A9" s="41" t="s">
        <v>11</v>
      </c>
      <c r="B9" s="79" t="s">
        <v>40</v>
      </c>
      <c r="C9" s="79"/>
      <c r="D9" s="15">
        <v>1</v>
      </c>
      <c r="E9" s="51">
        <f>Inicio_del_proyecto</f>
        <v>46076</v>
      </c>
      <c r="F9" s="51">
        <f>E9+6</f>
        <v>46082</v>
      </c>
      <c r="G9" s="13"/>
      <c r="H9" s="13">
        <f t="shared" si="6"/>
        <v>7</v>
      </c>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row>
    <row r="10" spans="1:64" s="2" customFormat="1" ht="30" customHeight="1" thickBot="1" x14ac:dyDescent="0.3">
      <c r="A10" s="41" t="s">
        <v>12</v>
      </c>
      <c r="B10" s="73" t="s">
        <v>51</v>
      </c>
      <c r="C10" s="73"/>
      <c r="D10" s="15">
        <v>0</v>
      </c>
      <c r="E10" s="51">
        <f>F9+1</f>
        <v>46083</v>
      </c>
      <c r="F10" s="51">
        <f>E10+13</f>
        <v>46096</v>
      </c>
      <c r="G10" s="13"/>
      <c r="H10" s="13">
        <f t="shared" si="6"/>
        <v>14</v>
      </c>
      <c r="I10" s="26"/>
      <c r="J10" s="26"/>
      <c r="K10" s="26"/>
      <c r="L10" s="26"/>
      <c r="M10" s="26"/>
      <c r="N10" s="26"/>
      <c r="O10" s="26"/>
      <c r="P10" s="26"/>
      <c r="Q10" s="26"/>
      <c r="R10" s="26"/>
      <c r="S10" s="26"/>
      <c r="T10" s="26"/>
      <c r="U10" s="27"/>
      <c r="V10" s="27"/>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c r="BL10" s="26"/>
    </row>
    <row r="11" spans="1:64" s="2" customFormat="1" ht="30" customHeight="1" thickBot="1" x14ac:dyDescent="0.3">
      <c r="A11" s="40"/>
      <c r="B11" s="73" t="s">
        <v>54</v>
      </c>
      <c r="C11" s="73"/>
      <c r="D11" s="15">
        <v>0</v>
      </c>
      <c r="E11" s="51">
        <f>F10+1</f>
        <v>46097</v>
      </c>
      <c r="F11" s="51">
        <f>E11+6</f>
        <v>46103</v>
      </c>
      <c r="G11" s="13"/>
      <c r="H11" s="13">
        <f t="shared" si="6"/>
        <v>7</v>
      </c>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row>
    <row r="12" spans="1:64" s="2" customFormat="1" ht="30" customHeight="1" thickBot="1" x14ac:dyDescent="0.3">
      <c r="A12" s="40"/>
      <c r="B12" s="73" t="s">
        <v>53</v>
      </c>
      <c r="C12" s="73"/>
      <c r="D12" s="15">
        <v>0</v>
      </c>
      <c r="E12" s="51">
        <f>F11</f>
        <v>46103</v>
      </c>
      <c r="F12" s="51">
        <f>E12</f>
        <v>46103</v>
      </c>
      <c r="G12" s="13"/>
      <c r="H12" s="13">
        <f t="shared" si="6"/>
        <v>1</v>
      </c>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6"/>
      <c r="BK12" s="26"/>
      <c r="BL12" s="26"/>
    </row>
    <row r="13" spans="1:64" s="2" customFormat="1" ht="30" customHeight="1" thickBot="1" x14ac:dyDescent="0.3">
      <c r="A13" s="41" t="s">
        <v>13</v>
      </c>
      <c r="B13" s="70" t="s">
        <v>42</v>
      </c>
      <c r="C13" s="70"/>
      <c r="D13" s="16"/>
      <c r="E13" s="52"/>
      <c r="F13" s="53"/>
      <c r="G13" s="13"/>
      <c r="H13" s="13" t="str">
        <f t="shared" si="6"/>
        <v/>
      </c>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row>
    <row r="14" spans="1:64" s="2" customFormat="1" ht="30" customHeight="1" thickBot="1" x14ac:dyDescent="0.3">
      <c r="A14" s="41"/>
      <c r="B14" s="74" t="s">
        <v>51</v>
      </c>
      <c r="C14" s="74"/>
      <c r="D14" s="17">
        <v>0</v>
      </c>
      <c r="E14" s="54">
        <f>E12+1</f>
        <v>46104</v>
      </c>
      <c r="F14" s="54">
        <f>E14+6</f>
        <v>46110</v>
      </c>
      <c r="G14" s="13"/>
      <c r="H14" s="13">
        <f t="shared" si="6"/>
        <v>7</v>
      </c>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row>
    <row r="15" spans="1:64" s="2" customFormat="1" ht="30" customHeight="1" thickBot="1" x14ac:dyDescent="0.3">
      <c r="A15" s="40"/>
      <c r="B15" s="71" t="s">
        <v>52</v>
      </c>
      <c r="C15" s="71"/>
      <c r="D15" s="17">
        <v>1</v>
      </c>
      <c r="E15" s="54">
        <f>F14+1</f>
        <v>46111</v>
      </c>
      <c r="F15" s="54">
        <f>E15+6</f>
        <v>46117</v>
      </c>
      <c r="G15" s="13"/>
      <c r="H15" s="13">
        <f t="shared" si="6"/>
        <v>7</v>
      </c>
      <c r="I15" s="26"/>
      <c r="J15" s="26"/>
      <c r="K15" s="26"/>
      <c r="L15" s="26"/>
      <c r="M15" s="26"/>
      <c r="N15" s="26"/>
      <c r="O15" s="26"/>
      <c r="P15" s="26"/>
      <c r="Q15" s="26"/>
      <c r="R15" s="26"/>
      <c r="S15" s="26"/>
      <c r="T15" s="26"/>
      <c r="U15" s="27"/>
      <c r="V15" s="27"/>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row>
    <row r="16" spans="1:64" s="2" customFormat="1" ht="30" customHeight="1" thickBot="1" x14ac:dyDescent="0.3">
      <c r="A16" s="40"/>
      <c r="B16" s="71" t="s">
        <v>51</v>
      </c>
      <c r="C16" s="71"/>
      <c r="D16" s="17">
        <v>0</v>
      </c>
      <c r="E16" s="54">
        <f>F15+1</f>
        <v>46118</v>
      </c>
      <c r="F16" s="54">
        <f>E16+6</f>
        <v>46124</v>
      </c>
      <c r="G16" s="13"/>
      <c r="H16" s="13">
        <f t="shared" si="6"/>
        <v>7</v>
      </c>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row>
    <row r="17" spans="1:64" s="2" customFormat="1" ht="30" customHeight="1" thickBot="1" x14ac:dyDescent="0.3">
      <c r="A17" s="40"/>
      <c r="B17" s="71" t="s">
        <v>50</v>
      </c>
      <c r="C17" s="71"/>
      <c r="D17" s="17">
        <v>0</v>
      </c>
      <c r="E17" s="54">
        <f>F16+1</f>
        <v>46125</v>
      </c>
      <c r="F17" s="54">
        <f>E17+4</f>
        <v>46129</v>
      </c>
      <c r="G17" s="13"/>
      <c r="H17" s="13">
        <f t="shared" si="6"/>
        <v>5</v>
      </c>
      <c r="I17" s="26"/>
      <c r="J17" s="26"/>
      <c r="K17" s="26"/>
      <c r="L17" s="26"/>
      <c r="M17" s="26"/>
      <c r="N17" s="26"/>
      <c r="O17" s="26"/>
      <c r="P17" s="26"/>
      <c r="Q17" s="26"/>
      <c r="R17" s="26"/>
      <c r="S17" s="26"/>
      <c r="T17" s="26"/>
      <c r="U17" s="26"/>
      <c r="V17" s="26"/>
      <c r="W17" s="26"/>
      <c r="X17" s="26"/>
      <c r="Y17" s="27"/>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row>
    <row r="18" spans="1:64" s="2" customFormat="1" ht="30" customHeight="1" thickBot="1" x14ac:dyDescent="0.3">
      <c r="A18" s="40" t="s">
        <v>14</v>
      </c>
      <c r="B18" s="72" t="s">
        <v>44</v>
      </c>
      <c r="C18" s="72"/>
      <c r="D18" s="18"/>
      <c r="E18" s="55"/>
      <c r="F18" s="56"/>
      <c r="G18" s="13"/>
      <c r="H18" s="13" t="str">
        <f t="shared" si="6"/>
        <v/>
      </c>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6"/>
      <c r="BK18" s="26"/>
      <c r="BL18" s="26"/>
    </row>
    <row r="19" spans="1:64" s="2" customFormat="1" ht="30" customHeight="1" thickBot="1" x14ac:dyDescent="0.3">
      <c r="A19" s="40"/>
      <c r="B19" s="67" t="s">
        <v>43</v>
      </c>
      <c r="C19" s="67"/>
      <c r="D19" s="19">
        <v>0</v>
      </c>
      <c r="E19" s="57">
        <f>F17+1</f>
        <v>46130</v>
      </c>
      <c r="F19" s="57">
        <f>E19+8</f>
        <v>46138</v>
      </c>
      <c r="G19" s="13"/>
      <c r="H19" s="13">
        <f t="shared" si="6"/>
        <v>9</v>
      </c>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6"/>
      <c r="BK19" s="26"/>
      <c r="BL19" s="26"/>
    </row>
    <row r="20" spans="1:64" s="2" customFormat="1" ht="30" customHeight="1" thickBot="1" x14ac:dyDescent="0.3">
      <c r="A20" s="40"/>
      <c r="B20" s="67" t="s">
        <v>49</v>
      </c>
      <c r="C20" s="67"/>
      <c r="D20" s="19">
        <v>0</v>
      </c>
      <c r="E20" s="57">
        <f>F19+1</f>
        <v>46139</v>
      </c>
      <c r="F20" s="57">
        <f>E20+13</f>
        <v>46152</v>
      </c>
      <c r="G20" s="13"/>
      <c r="H20" s="13">
        <f t="shared" si="6"/>
        <v>14</v>
      </c>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row>
    <row r="21" spans="1:64" s="2" customFormat="1" ht="30" customHeight="1" thickBot="1" x14ac:dyDescent="0.3">
      <c r="A21" s="40"/>
      <c r="B21" s="68" t="s">
        <v>48</v>
      </c>
      <c r="C21" s="68"/>
      <c r="D21" s="19">
        <v>0</v>
      </c>
      <c r="E21" s="57">
        <f>F20+1</f>
        <v>46153</v>
      </c>
      <c r="F21" s="57">
        <f>E21+4</f>
        <v>46157</v>
      </c>
      <c r="G21" s="13"/>
      <c r="H21" s="13">
        <f t="shared" si="6"/>
        <v>5</v>
      </c>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row>
    <row r="22" spans="1:64" s="2" customFormat="1" ht="30" customHeight="1" thickBot="1" x14ac:dyDescent="0.3">
      <c r="A22" s="40" t="s">
        <v>14</v>
      </c>
      <c r="B22" s="86" t="s">
        <v>45</v>
      </c>
      <c r="C22" s="86"/>
      <c r="D22" s="20"/>
      <c r="E22" s="58"/>
      <c r="F22" s="59"/>
      <c r="G22" s="13"/>
      <c r="H22" s="13" t="str">
        <f t="shared" si="6"/>
        <v/>
      </c>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row>
    <row r="23" spans="1:64" s="2" customFormat="1" ht="30" customHeight="1" thickBot="1" x14ac:dyDescent="0.3">
      <c r="A23" s="40"/>
      <c r="B23" s="87" t="s">
        <v>47</v>
      </c>
      <c r="C23" s="87"/>
      <c r="D23" s="21">
        <v>0</v>
      </c>
      <c r="E23" s="60">
        <f>F21+1</f>
        <v>46158</v>
      </c>
      <c r="F23" s="60">
        <f>E23+15</f>
        <v>46173</v>
      </c>
      <c r="G23" s="13"/>
      <c r="H23" s="13">
        <f t="shared" si="6"/>
        <v>16</v>
      </c>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row>
    <row r="24" spans="1:64" s="2" customFormat="1" ht="30" customHeight="1" thickBot="1" x14ac:dyDescent="0.3">
      <c r="A24" s="40"/>
      <c r="B24" s="87" t="s">
        <v>46</v>
      </c>
      <c r="C24" s="87"/>
      <c r="D24" s="21">
        <v>0</v>
      </c>
      <c r="E24" s="60">
        <f>F23+1</f>
        <v>46174</v>
      </c>
      <c r="F24" s="60">
        <f>E24+4</f>
        <v>46178</v>
      </c>
      <c r="G24" s="13"/>
      <c r="H24" s="13">
        <f t="shared" si="6"/>
        <v>5</v>
      </c>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row>
    <row r="25" spans="1:64" s="2" customFormat="1" ht="30" customHeight="1" thickBot="1" x14ac:dyDescent="0.3">
      <c r="A25" s="40"/>
      <c r="B25" s="87" t="s">
        <v>55</v>
      </c>
      <c r="C25" s="87"/>
      <c r="D25" s="21">
        <v>0</v>
      </c>
      <c r="E25" s="60">
        <f>F24+3</f>
        <v>46181</v>
      </c>
      <c r="F25" s="60">
        <f>E25+4</f>
        <v>46185</v>
      </c>
      <c r="G25" s="13"/>
      <c r="H25" s="13">
        <f t="shared" si="6"/>
        <v>5</v>
      </c>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row>
    <row r="26" spans="1:64" s="2" customFormat="1" ht="30" customHeight="1" thickBot="1" x14ac:dyDescent="0.3">
      <c r="A26" s="40" t="s">
        <v>15</v>
      </c>
      <c r="B26" s="46"/>
      <c r="C26" s="45"/>
      <c r="D26" s="12"/>
      <c r="E26" s="61"/>
      <c r="F26" s="61"/>
      <c r="G26" s="13"/>
      <c r="H26" s="13" t="str">
        <f t="shared" si="6"/>
        <v/>
      </c>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row>
    <row r="27" spans="1:64" s="2" customFormat="1" ht="30" customHeight="1" thickBot="1" x14ac:dyDescent="0.3">
      <c r="A27" s="41" t="s">
        <v>16</v>
      </c>
      <c r="B27" s="22" t="s">
        <v>17</v>
      </c>
      <c r="C27" s="23"/>
      <c r="D27" s="24"/>
      <c r="E27" s="62"/>
      <c r="F27" s="63"/>
      <c r="G27" s="25"/>
      <c r="H27" s="25" t="str">
        <f t="shared" si="6"/>
        <v/>
      </c>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row>
    <row r="28" spans="1:64" ht="30" customHeight="1" x14ac:dyDescent="0.25">
      <c r="G28" s="5"/>
    </row>
    <row r="29" spans="1:64" ht="30" customHeight="1" x14ac:dyDescent="0.25">
      <c r="C29" s="10"/>
      <c r="F29" s="42"/>
    </row>
    <row r="30" spans="1:64" ht="30" customHeight="1" x14ac:dyDescent="0.25">
      <c r="C30" s="11"/>
    </row>
  </sheetData>
  <mergeCells count="32">
    <mergeCell ref="B22:C22"/>
    <mergeCell ref="B24:C24"/>
    <mergeCell ref="B23:C23"/>
    <mergeCell ref="B25:C25"/>
    <mergeCell ref="B3:B4"/>
    <mergeCell ref="B1:D1"/>
    <mergeCell ref="I1:BL3"/>
    <mergeCell ref="B9:C9"/>
    <mergeCell ref="B10:C10"/>
    <mergeCell ref="C3:D3"/>
    <mergeCell ref="C4:D4"/>
    <mergeCell ref="AK4:AQ4"/>
    <mergeCell ref="AR4:AX4"/>
    <mergeCell ref="AY4:BE4"/>
    <mergeCell ref="BF4:BL4"/>
    <mergeCell ref="E3:F3"/>
    <mergeCell ref="I4:O4"/>
    <mergeCell ref="P4:V4"/>
    <mergeCell ref="W4:AC4"/>
    <mergeCell ref="AD4:AJ4"/>
    <mergeCell ref="B20:C20"/>
    <mergeCell ref="B21:C21"/>
    <mergeCell ref="B8:C8"/>
    <mergeCell ref="B13:C13"/>
    <mergeCell ref="B16:C16"/>
    <mergeCell ref="B17:C17"/>
    <mergeCell ref="B18:C18"/>
    <mergeCell ref="B19:C19"/>
    <mergeCell ref="B11:C11"/>
    <mergeCell ref="B12:C12"/>
    <mergeCell ref="B14:C14"/>
    <mergeCell ref="B15:C15"/>
  </mergeCells>
  <conditionalFormatting sqref="D7:D27">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7">
    <cfRule type="expression" dxfId="2" priority="33">
      <formula>AND(TODAY()&gt;=I$5,TODAY()&lt;J$5)</formula>
    </cfRule>
  </conditionalFormatting>
  <conditionalFormatting sqref="I7:BL27">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printOptions horizontalCentered="1"/>
  <pageMargins left="0.35" right="0.35" top="0.35" bottom="0.5" header="0.3" footer="0.3"/>
  <pageSetup paperSize="9" scale="51"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30" customWidth="1"/>
    <col min="2" max="16384" width="9.140625" style="1"/>
  </cols>
  <sheetData>
    <row r="1" spans="1:2" ht="46.5" customHeight="1" x14ac:dyDescent="0.2"/>
    <row r="2" spans="1:2" s="32" customFormat="1" ht="15.75" x14ac:dyDescent="0.25">
      <c r="A2" s="31" t="s">
        <v>1</v>
      </c>
      <c r="B2" s="31"/>
    </row>
    <row r="3" spans="1:2" s="36" customFormat="1" ht="27" customHeight="1" x14ac:dyDescent="0.25">
      <c r="A3" s="48" t="s">
        <v>3</v>
      </c>
      <c r="B3" s="37"/>
    </row>
    <row r="4" spans="1:2" s="33" customFormat="1" ht="26.25" x14ac:dyDescent="0.4">
      <c r="A4" s="34" t="s">
        <v>18</v>
      </c>
    </row>
    <row r="5" spans="1:2" ht="74.099999999999994" customHeight="1" x14ac:dyDescent="0.2">
      <c r="A5" s="35" t="s">
        <v>19</v>
      </c>
    </row>
    <row r="6" spans="1:2" ht="26.25" customHeight="1" x14ac:dyDescent="0.2">
      <c r="A6" s="34" t="s">
        <v>20</v>
      </c>
    </row>
    <row r="7" spans="1:2" s="30" customFormat="1" ht="228" customHeight="1" x14ac:dyDescent="0.25">
      <c r="A7" s="39" t="s">
        <v>21</v>
      </c>
    </row>
    <row r="8" spans="1:2" s="33" customFormat="1" ht="26.25" x14ac:dyDescent="0.4">
      <c r="A8" s="34" t="s">
        <v>22</v>
      </c>
    </row>
    <row r="9" spans="1:2" ht="75" x14ac:dyDescent="0.2">
      <c r="A9" s="35" t="s">
        <v>23</v>
      </c>
    </row>
    <row r="10" spans="1:2" s="30" customFormat="1" ht="27.95" customHeight="1" x14ac:dyDescent="0.25">
      <c r="A10" s="38" t="s">
        <v>24</v>
      </c>
    </row>
    <row r="11" spans="1:2" s="33" customFormat="1" ht="26.25" x14ac:dyDescent="0.4">
      <c r="A11" s="34" t="s">
        <v>25</v>
      </c>
    </row>
    <row r="12" spans="1:2" ht="30" x14ac:dyDescent="0.2">
      <c r="A12" s="35" t="s">
        <v>26</v>
      </c>
    </row>
    <row r="13" spans="1:2" s="30" customFormat="1" ht="27.95" customHeight="1" x14ac:dyDescent="0.25">
      <c r="A13" s="38" t="s">
        <v>27</v>
      </c>
    </row>
    <row r="14" spans="1:2" s="33" customFormat="1" ht="26.25" x14ac:dyDescent="0.4">
      <c r="A14" s="34" t="s">
        <v>28</v>
      </c>
    </row>
    <row r="15" spans="1:2" ht="93.75" customHeight="1" x14ac:dyDescent="0.2">
      <c r="A15" s="35" t="s">
        <v>29</v>
      </c>
    </row>
    <row r="16" spans="1:2" ht="90" x14ac:dyDescent="0.2">
      <c r="A16" s="35" t="s">
        <v>30</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2.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2026-03-06T14:24:33Z</dcterms:created>
  <dcterms:modified xsi:type="dcterms:W3CDTF">2026-03-16T18:25:55Z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